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-15" yWindow="-15" windowWidth="20520" windowHeight="4185" tabRatio="773" firstSheet="1" activeTab="1"/>
  </bookViews>
  <sheets>
    <sheet name="INDEX" sheetId="1" state="hidden" r:id="rId1"/>
    <sheet name="PARÂMETROS" sheetId="4" r:id="rId2"/>
    <sheet name="BD_FUNILARIA" sheetId="5" state="hidden" r:id="rId3"/>
    <sheet name="BD_MONTAGEM" sheetId="6" state="hidden" r:id="rId4"/>
    <sheet name="BD_FPT" sheetId="19" state="hidden" r:id="rId5"/>
    <sheet name="RESULT_PFEP" sheetId="17" r:id="rId6"/>
    <sheet name="RESULT_SUP" sheetId="18" r:id="rId7"/>
    <sheet name="SUPPLIER_DB" sheetId="13" state="hidden" r:id="rId8"/>
    <sheet name="PFEP_PROVISÓRIO" sheetId="14" state="hidden" r:id="rId9"/>
    <sheet name="BD_UNIFICADO" sheetId="7" state="hidden" r:id="rId10"/>
    <sheet name="INFO_PROGRAMAÇÃO" sheetId="8" r:id="rId11"/>
    <sheet name="PN_SEM_NOME" sheetId="9" r:id="rId12"/>
    <sheet name="FORN_SEM_COD_SAP" sheetId="10" r:id="rId13"/>
    <sheet name="FORN_SEM_UF" sheetId="11" r:id="rId14"/>
    <sheet name="PN_SEM_QME" sheetId="12" r:id="rId15"/>
  </sheets>
  <definedNames>
    <definedName name="_xlnm._FilterDatabase" localSheetId="3" hidden="1">BD_MONTAGEM!#REF!</definedName>
    <definedName name="_xlnm._FilterDatabase" localSheetId="9" hidden="1">BD_UNIFICADO!$A$1:$M$1</definedName>
    <definedName name="_xlnm._FilterDatabase" localSheetId="8" hidden="1">PFEP_PROVISÓRIO!#REF!</definedName>
    <definedName name="_xlnm._FilterDatabase" localSheetId="5" hidden="1">RESULT_PFEP!$A$1:$AQ$1</definedName>
    <definedName name="_xlnm._FilterDatabase" localSheetId="6" hidden="1">RESULT_SUP!$A$1:$AJ$1</definedName>
    <definedName name="_xlnm._FilterDatabase" localSheetId="7" hidden="1">SUPPLIER_DB!#REF!</definedName>
  </definedNames>
  <calcPr calcId="145621"/>
</workbook>
</file>

<file path=xl/calcChain.xml><?xml version="1.0" encoding="utf-8"?>
<calcChain xmlns="http://schemas.openxmlformats.org/spreadsheetml/2006/main">
  <c r="C11" i="4" l="1"/>
  <c r="C12" i="4" s="1"/>
  <c r="C16" i="4" l="1"/>
  <c r="C14" i="4"/>
  <c r="C13" i="4"/>
  <c r="C15" i="4" l="1"/>
  <c r="C17" i="4"/>
</calcChain>
</file>

<file path=xl/comments1.xml><?xml version="1.0" encoding="utf-8"?>
<comments xmlns="http://schemas.openxmlformats.org/spreadsheetml/2006/main">
  <authors>
    <author>REIS Gabriela De Jesus</author>
  </authors>
  <commentList>
    <comment ref="Z1" authorId="0">
      <text>
        <r>
          <rPr>
            <b/>
            <sz val="9"/>
            <color indexed="81"/>
            <rFont val="Segoe UI"/>
            <family val="2"/>
          </rPr>
          <t>Critério: empilhamento quando foi 1 : "N", acima de 1 : "S"</t>
        </r>
      </text>
    </comment>
  </commentList>
</comments>
</file>

<file path=xl/sharedStrings.xml><?xml version="1.0" encoding="utf-8"?>
<sst xmlns="http://schemas.openxmlformats.org/spreadsheetml/2006/main" count="193" uniqueCount="117">
  <si>
    <t>ID</t>
  </si>
  <si>
    <t>PARÂMETRO</t>
  </si>
  <si>
    <t>DATA</t>
  </si>
  <si>
    <t>VALOR</t>
  </si>
  <si>
    <t>BD_FUNILARIA</t>
  </si>
  <si>
    <t>BD_MONTAGEM</t>
  </si>
  <si>
    <t>COD_EMPRESA</t>
  </si>
  <si>
    <t>PRODUTO</t>
  </si>
  <si>
    <t>DESC_PRODUTO</t>
  </si>
  <si>
    <t>COD_FORN_SAP</t>
  </si>
  <si>
    <t>COD_FORN_IMS</t>
  </si>
  <si>
    <t>ESTADO</t>
  </si>
  <si>
    <t>QTDE_PROGRAMADA</t>
  </si>
  <si>
    <t>ORIGEM</t>
  </si>
  <si>
    <t>FUNILARIA</t>
  </si>
  <si>
    <t>NOME_FORNECEDOR</t>
  </si>
  <si>
    <t>PRODUTO_COD_FORN_SAP</t>
  </si>
  <si>
    <t>Supplier Code</t>
  </si>
  <si>
    <t xml:space="preserve">TARGET SUPPLIER + CITY </t>
  </si>
  <si>
    <t>Address Adjusted</t>
  </si>
  <si>
    <t>City</t>
  </si>
  <si>
    <t>State</t>
  </si>
  <si>
    <t>Country</t>
  </si>
  <si>
    <t>Total of PNs</t>
  </si>
  <si>
    <t>Qty of PNs Recommended</t>
  </si>
  <si>
    <t>% of Recommended PNs</t>
  </si>
  <si>
    <t>Weekly Cube</t>
  </si>
  <si>
    <t>Weekly Cube (Collapsable)</t>
  </si>
  <si>
    <t>% Cube Usage</t>
  </si>
  <si>
    <t>Opt Freq</t>
  </si>
  <si>
    <t>Daily Cube</t>
  </si>
  <si>
    <t>Route Type</t>
  </si>
  <si>
    <t>Fluxo</t>
  </si>
  <si>
    <t>Weekly Weight (Kg)</t>
  </si>
  <si>
    <t>Direct Ship Round Trip</t>
  </si>
  <si>
    <t>Direct Ship One Way</t>
  </si>
  <si>
    <t>Incoterm</t>
  </si>
  <si>
    <t>Dock destination</t>
  </si>
  <si>
    <t>Repeat?</t>
  </si>
  <si>
    <t>Carrier</t>
  </si>
  <si>
    <t>Part Number RTM</t>
  </si>
  <si>
    <t>Codep Description</t>
  </si>
  <si>
    <t>Part Weight (Kg)</t>
  </si>
  <si>
    <t>Pieces per week</t>
  </si>
  <si>
    <t>Supplier Name</t>
  </si>
  <si>
    <t>Supplier City</t>
  </si>
  <si>
    <t>Supplier State</t>
  </si>
  <si>
    <t>Supplier Country</t>
  </si>
  <si>
    <t>Supplier Share (%)</t>
  </si>
  <si>
    <t>Supplier Name + City + State</t>
  </si>
  <si>
    <t>Original Packaging</t>
  </si>
  <si>
    <t>Parts per package</t>
  </si>
  <si>
    <t>Lenth</t>
  </si>
  <si>
    <t>Width</t>
  </si>
  <si>
    <t>Height</t>
  </si>
  <si>
    <t>Is the package a Tote (Yes or No)</t>
  </si>
  <si>
    <t>If tote, how many packages per layer</t>
  </si>
  <si>
    <t>If tote, how many layers on a pallet</t>
  </si>
  <si>
    <t>Package Weight (Kg)</t>
  </si>
  <si>
    <t>CHECK_PFEP</t>
  </si>
  <si>
    <t>Planta</t>
  </si>
  <si>
    <t>Semana de coleta</t>
  </si>
  <si>
    <t>Pieces- seg</t>
  </si>
  <si>
    <t>Pieces - ter</t>
  </si>
  <si>
    <t>Pieces - qua</t>
  </si>
  <si>
    <t>Pieces - qui</t>
  </si>
  <si>
    <t>Pieces - sex</t>
  </si>
  <si>
    <t>Pieces - sab</t>
  </si>
  <si>
    <t>Horário de Janela</t>
  </si>
  <si>
    <t>Empilhável? (S/N)</t>
  </si>
  <si>
    <t>Restrição de Veículo</t>
  </si>
  <si>
    <t>Qtd. de embalagens-Seg</t>
  </si>
  <si>
    <t>Qtd. de embalagens-Ter</t>
  </si>
  <si>
    <t>Qtd. de embalagens-Qua</t>
  </si>
  <si>
    <t>Qtd. de embalagens-Qui</t>
  </si>
  <si>
    <t>Qtd. de embalagens-Sex</t>
  </si>
  <si>
    <t>Qtd. de embalagens-Sab</t>
  </si>
  <si>
    <t>Destino</t>
  </si>
  <si>
    <t>Conta-trabalho?</t>
  </si>
  <si>
    <t>Dock Destination</t>
  </si>
  <si>
    <t>seg - m³</t>
  </si>
  <si>
    <t>ter - m³</t>
  </si>
  <si>
    <t>qua - m³</t>
  </si>
  <si>
    <t>qui - m³</t>
  </si>
  <si>
    <t>sex -m³</t>
  </si>
  <si>
    <t>sab -m³</t>
  </si>
  <si>
    <t>CDLC Destination</t>
  </si>
  <si>
    <t>seg - kg</t>
  </si>
  <si>
    <t>ter - kg</t>
  </si>
  <si>
    <t>qua - kg</t>
  </si>
  <si>
    <t>qui - kg</t>
  </si>
  <si>
    <t>sex - kg</t>
  </si>
  <si>
    <t>sab - kg</t>
  </si>
  <si>
    <t>m³ Programaçao</t>
  </si>
  <si>
    <t>m³ Embalagem</t>
  </si>
  <si>
    <t>m³ 
Final</t>
  </si>
  <si>
    <t>Volume Considerado</t>
  </si>
  <si>
    <t>Delta Embalagem</t>
  </si>
  <si>
    <t>DIA_PROGRAMAÇÃO</t>
  </si>
  <si>
    <t>DIA_DA_SEMANA_PROGRAMAÇÃO</t>
  </si>
  <si>
    <t>DATA_INICIAL_VALOR</t>
  </si>
  <si>
    <t>DATA_FINAL_VALOR</t>
  </si>
  <si>
    <t>BD_FPT</t>
  </si>
  <si>
    <t>planta</t>
  </si>
  <si>
    <t>Destination</t>
  </si>
  <si>
    <t>Volume Motor + Cambio</t>
  </si>
  <si>
    <t>Volume Motor + Cambio Colapsado</t>
  </si>
  <si>
    <t>Peso Motor + Cambio</t>
  </si>
  <si>
    <t>Saturação</t>
  </si>
  <si>
    <t>Veiculo</t>
  </si>
  <si>
    <t>RT</t>
  </si>
  <si>
    <t>OW</t>
  </si>
  <si>
    <t>KM</t>
  </si>
  <si>
    <t>PEDAGIO</t>
  </si>
  <si>
    <t>Transportadora</t>
  </si>
  <si>
    <t>RESP</t>
  </si>
  <si>
    <t>BD_FLECHINHA_FPT.xlsx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</si>
</sst>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[$£-809]#,##0.000"/>
    <numFmt numFmtId="165" formatCode="0;\-0;;@"/>
  </numFmts>
  <fonts count="9" x14ac:knownFonts="1"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5" fillId="0" borderId="0"/>
    <xf numFmtId="9" fontId="6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 applyAlignment="1">
      <alignment horizontal="left"/>
    </xf>
    <xf numFmtId="0" fontId="0" fillId="0" borderId="0" xfId="0" applyFont="1"/>
    <xf numFmtId="0" fontId="0" fillId="0" borderId="0" xfId="0" applyBorder="1"/>
    <xf numFmtId="0" fontId="7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43" fontId="7" fillId="2" borderId="1" xfId="1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 applyProtection="1">
      <alignment horizontal="center" vertical="center" wrapText="1"/>
    </xf>
    <xf numFmtId="9" fontId="3" fillId="2" borderId="1" xfId="0" applyNumberFormat="1" applyFont="1" applyFill="1" applyBorder="1" applyAlignment="1" applyProtection="1">
      <alignment horizontal="center" vertical="center" wrapText="1"/>
    </xf>
    <xf numFmtId="164" fontId="4" fillId="2" borderId="1" xfId="0" applyNumberFormat="1" applyFont="1" applyFill="1" applyBorder="1" applyAlignment="1" applyProtection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quotePrefix="1" applyFont="1" applyAlignment="1"/>
    <xf numFmtId="0" fontId="2" fillId="4" borderId="1" xfId="0" applyFont="1" applyFill="1" applyBorder="1" applyAlignment="1">
      <alignment horizontal="center" vertical="center"/>
    </xf>
    <xf numFmtId="0" fontId="0" fillId="0" borderId="0" xfId="0" applyFont="1" applyAlignment="1"/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165" fontId="3" fillId="2" borderId="1" xfId="0" applyNumberFormat="1" applyFont="1" applyFill="1" applyBorder="1" applyAlignment="1">
      <alignment horizontal="center" vertical="center" wrapText="1"/>
    </xf>
    <xf numFmtId="165" fontId="2" fillId="5" borderId="1" xfId="1" applyNumberFormat="1" applyFont="1" applyFill="1" applyBorder="1" applyAlignment="1">
      <alignment horizontal="center" vertical="center"/>
    </xf>
    <xf numFmtId="165" fontId="0" fillId="0" borderId="0" xfId="0" applyNumberFormat="1" applyFont="1"/>
    <xf numFmtId="0" fontId="2" fillId="7" borderId="1" xfId="0" applyFont="1" applyFill="1" applyBorder="1" applyAlignment="1">
      <alignment horizontal="center" vertical="center" wrapText="1"/>
    </xf>
    <xf numFmtId="0" fontId="0" fillId="3" borderId="0" xfId="0" applyFill="1"/>
    <xf numFmtId="14" fontId="0" fillId="0" borderId="0" xfId="0" applyNumberFormat="1"/>
    <xf numFmtId="0" fontId="0" fillId="8" borderId="0" xfId="0" applyFill="1"/>
    <xf numFmtId="0" fontId="0" fillId="8" borderId="0" xfId="0" applyFont="1" applyFill="1"/>
    <xf numFmtId="14" fontId="0" fillId="8" borderId="0" xfId="0" applyNumberFormat="1" applyFill="1" applyAlignment="1">
      <alignment horizontal="left"/>
    </xf>
    <xf numFmtId="0" fontId="0" fillId="8" borderId="0" xfId="0" applyFill="1" applyAlignment="1">
      <alignment horizontal="left"/>
    </xf>
    <xf numFmtId="14" fontId="0" fillId="8" borderId="0" xfId="0" applyNumberFormat="1" applyFill="1"/>
    <xf numFmtId="14" fontId="0" fillId="9" borderId="0" xfId="0" applyNumberFormat="1" applyFill="1" applyAlignment="1">
      <alignment horizontal="left"/>
    </xf>
  </cellXfs>
  <cellStyles count="4">
    <cellStyle name="Normal" xfId="0" builtinId="0"/>
    <cellStyle name="Normal 10" xfId="2"/>
    <cellStyle name="Percent" xfId="3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38100</xdr:rowOff>
        </xdr:from>
        <xdr:to>
          <xdr:col>6</xdr:col>
          <xdr:colOff>514350</xdr:colOff>
          <xdr:row>14</xdr:row>
          <xdr:rowOff>133350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/>
  </sheetViews>
  <sheetFormatPr defaultRowHeight="11.25" x14ac:dyDescent="0.2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8" tint="-0.499984740745262"/>
  </sheetPr>
  <dimension ref="A10:C18"/>
  <sheetViews>
    <sheetView showGridLines="0" tabSelected="1" workbookViewId="0">
      <selection activeCell="C18" sqref="C18"/>
    </sheetView>
  </sheetViews>
  <sheetFormatPr defaultRowHeight="11.25" x14ac:dyDescent="0.2"/>
  <cols>
    <col min="1" max="1" width="2.83203125" bestFit="1" customWidth="1"/>
    <col min="2" max="2" width="27.5" bestFit="1" customWidth="1"/>
    <col min="3" max="3" width="21.33203125" bestFit="1" customWidth="1"/>
    <col min="4" max="4" width="20.1640625" bestFit="1" customWidth="1"/>
    <col min="5" max="5" width="10.83203125" bestFit="1" customWidth="1"/>
  </cols>
  <sheetData>
    <row r="10" spans="1:3" x14ac:dyDescent="0.2">
      <c r="A10" t="s">
        <v>0</v>
      </c>
      <c r="B10" t="s">
        <v>1</v>
      </c>
      <c r="C10" t="s">
        <v>3</v>
      </c>
    </row>
    <row r="11" spans="1:3" x14ac:dyDescent="0.2">
      <c r="A11">
        <v>1</v>
      </c>
      <c r="B11" t="s">
        <v>2</v>
      </c>
      <c r="C11" s="1">
        <f ca="1">TODAY()</f>
        <v>44105</v>
      </c>
    </row>
    <row r="12" spans="1:3" x14ac:dyDescent="0.2">
      <c r="A12" s="28">
        <v>2</v>
      </c>
      <c r="B12" s="29" t="s">
        <v>4</v>
      </c>
      <c r="C12" s="30" t="str">
        <f ca="1">CONCATENATE(TEXT(C11,"AAAA"),TEXT(C11,"MM")," - FUNILARIA.xlsx")</f>
        <v>202010 - FUNILARIA.xlsx</v>
      </c>
    </row>
    <row r="13" spans="1:3" x14ac:dyDescent="0.2">
      <c r="A13" s="28">
        <v>3</v>
      </c>
      <c r="B13" s="28" t="s">
        <v>5</v>
      </c>
      <c r="C13" s="31" t="str">
        <f ca="1">CONCATENATE(TEXT(C11,"AAAA"),TEXT(C11,"MM")," - MONTAGEM.xlsx")</f>
        <v>202010 - MONTAGEM.xlsx</v>
      </c>
    </row>
    <row r="14" spans="1:3" x14ac:dyDescent="0.2">
      <c r="A14" s="28">
        <v>4</v>
      </c>
      <c r="B14" s="28" t="s">
        <v>98</v>
      </c>
      <c r="C14" s="33">
        <f ca="1">WORKDAY(C11,1,0)</f>
        <v>44106</v>
      </c>
    </row>
    <row r="15" spans="1:3" x14ac:dyDescent="0.2">
      <c r="A15" s="28">
        <v>5</v>
      </c>
      <c r="B15" s="28" t="s">
        <v>99</v>
      </c>
      <c r="C15" s="28" t="str">
        <f ca="1">PROPER(TEXT(C14,"DDDD"))</f>
        <v>Sexta-Feira</v>
      </c>
    </row>
    <row r="16" spans="1:3" x14ac:dyDescent="0.2">
      <c r="A16" s="28">
        <v>6</v>
      </c>
      <c r="B16" s="28" t="s">
        <v>100</v>
      </c>
      <c r="C16" s="32" t="str">
        <f ca="1">IFERROR(DATEVALUE(C11),"-")</f>
        <v>-</v>
      </c>
    </row>
    <row r="17" spans="1:3" x14ac:dyDescent="0.2">
      <c r="A17" s="28">
        <v>7</v>
      </c>
      <c r="B17" s="28" t="s">
        <v>101</v>
      </c>
      <c r="C17" s="32" t="str">
        <f ca="1">IFERROR(DATEVALUE(C14),"-")</f>
        <v>-</v>
      </c>
    </row>
    <row r="18" spans="1:3" x14ac:dyDescent="0.2">
      <c r="A18" s="28">
        <v>8</v>
      </c>
      <c r="B18" s="28" t="s">
        <v>102</v>
      </c>
      <c r="C18" s="28" t="s">
        <v>116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2" r:id="rId4" name="CommandButton1">
          <controlPr defaultSize="0" autoLine="0" r:id="rId5">
            <anchor moveWithCells="1">
              <from>
                <xdr:col>4</xdr:col>
                <xdr:colOff>0</xdr:colOff>
                <xdr:row>11</xdr:row>
                <xdr:rowOff>38100</xdr:rowOff>
              </from>
              <to>
                <xdr:col>6</xdr:col>
                <xdr:colOff>514350</xdr:colOff>
                <xdr:row>14</xdr:row>
                <xdr:rowOff>133350</xdr:rowOff>
              </to>
            </anchor>
          </controlPr>
        </control>
      </mc:Choice>
      <mc:Fallback>
        <control shapeId="1536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8" tint="-0.499984740745262"/>
  </sheetPr>
  <dimension ref="A1"/>
  <sheetViews>
    <sheetView workbookViewId="0"/>
  </sheetViews>
  <sheetFormatPr defaultRowHeight="11.25" x14ac:dyDescent="0.2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8" tint="-0.499984740745262"/>
  </sheetPr>
  <dimension ref="A1"/>
  <sheetViews>
    <sheetView workbookViewId="0"/>
  </sheetViews>
  <sheetFormatPr defaultRowHeight="11.25" x14ac:dyDescent="0.2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>
    <tabColor theme="8" tint="-0.499984740745262"/>
  </sheetPr>
  <dimension ref="A1"/>
  <sheetViews>
    <sheetView workbookViewId="0"/>
  </sheetViews>
  <sheetFormatPr defaultRowHeight="11.25" x14ac:dyDescent="0.2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>
    <tabColor rgb="FFFFC000"/>
  </sheetPr>
  <dimension ref="A1:AQ1"/>
  <sheetViews>
    <sheetView workbookViewId="0"/>
  </sheetViews>
  <sheetFormatPr defaultRowHeight="11.25" x14ac:dyDescent="0.2"/>
  <cols>
    <col min="3" max="3" width="11.1640625" bestFit="1" customWidth="1"/>
    <col min="4" max="4" width="26.1640625" bestFit="1" customWidth="1"/>
    <col min="6" max="11" width="9.33203125" style="21"/>
    <col min="13" max="13" width="15.83203125" bestFit="1" customWidth="1"/>
    <col min="19" max="19" width="46.83203125" bestFit="1" customWidth="1"/>
    <col min="32" max="37" width="9.33203125" style="21"/>
    <col min="39" max="39" width="9.1640625" bestFit="1" customWidth="1"/>
    <col min="41" max="41" width="2.33203125" bestFit="1" customWidth="1"/>
  </cols>
  <sheetData>
    <row r="1" spans="1:43" ht="90" x14ac:dyDescent="0.2">
      <c r="A1" s="4" t="s">
        <v>60</v>
      </c>
      <c r="B1" s="4" t="s">
        <v>61</v>
      </c>
      <c r="C1" s="4" t="s">
        <v>40</v>
      </c>
      <c r="D1" s="4" t="s">
        <v>41</v>
      </c>
      <c r="E1" s="5" t="s">
        <v>42</v>
      </c>
      <c r="F1" s="20" t="s">
        <v>62</v>
      </c>
      <c r="G1" s="20" t="s">
        <v>63</v>
      </c>
      <c r="H1" s="20" t="s">
        <v>64</v>
      </c>
      <c r="I1" s="20" t="s">
        <v>65</v>
      </c>
      <c r="J1" s="20" t="s">
        <v>66</v>
      </c>
      <c r="K1" s="20" t="s">
        <v>67</v>
      </c>
      <c r="L1" s="6" t="s">
        <v>43</v>
      </c>
      <c r="M1" s="7" t="s">
        <v>17</v>
      </c>
      <c r="N1" s="7" t="s">
        <v>44</v>
      </c>
      <c r="O1" s="7" t="s">
        <v>45</v>
      </c>
      <c r="P1" s="7" t="s">
        <v>46</v>
      </c>
      <c r="Q1" s="7" t="s">
        <v>47</v>
      </c>
      <c r="R1" s="8" t="s">
        <v>48</v>
      </c>
      <c r="S1" s="9" t="s">
        <v>49</v>
      </c>
      <c r="T1" s="7" t="s">
        <v>68</v>
      </c>
      <c r="U1" s="10" t="s">
        <v>50</v>
      </c>
      <c r="V1" s="5" t="s">
        <v>51</v>
      </c>
      <c r="W1" s="5" t="s">
        <v>52</v>
      </c>
      <c r="X1" s="5" t="s">
        <v>53</v>
      </c>
      <c r="Y1" s="5" t="s">
        <v>54</v>
      </c>
      <c r="Z1" s="5" t="s">
        <v>69</v>
      </c>
      <c r="AA1" s="5" t="s">
        <v>55</v>
      </c>
      <c r="AB1" s="5" t="s">
        <v>56</v>
      </c>
      <c r="AC1" s="5" t="s">
        <v>57</v>
      </c>
      <c r="AD1" s="5" t="s">
        <v>58</v>
      </c>
      <c r="AE1" s="5" t="s">
        <v>70</v>
      </c>
      <c r="AF1" s="22" t="s">
        <v>71</v>
      </c>
      <c r="AG1" s="22" t="s">
        <v>72</v>
      </c>
      <c r="AH1" s="22" t="s">
        <v>73</v>
      </c>
      <c r="AI1" s="22" t="s">
        <v>74</v>
      </c>
      <c r="AJ1" s="22" t="s">
        <v>75</v>
      </c>
      <c r="AK1" s="22" t="s">
        <v>76</v>
      </c>
      <c r="AL1" s="5" t="s">
        <v>32</v>
      </c>
      <c r="AM1" s="4" t="s">
        <v>77</v>
      </c>
      <c r="AN1" s="4" t="s">
        <v>78</v>
      </c>
      <c r="AO1" s="11">
        <v>1</v>
      </c>
      <c r="AP1" s="4" t="s">
        <v>79</v>
      </c>
      <c r="AQ1" s="4" t="s">
        <v>39</v>
      </c>
    </row>
  </sheetData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rgb="FFFFC000"/>
  </sheetPr>
  <dimension ref="A1:AJ1"/>
  <sheetViews>
    <sheetView workbookViewId="0"/>
  </sheetViews>
  <sheetFormatPr defaultRowHeight="11.25" x14ac:dyDescent="0.2"/>
  <cols>
    <col min="1" max="1" width="7.83203125" style="2" bestFit="1" customWidth="1"/>
    <col min="2" max="2" width="14.83203125" style="2" bestFit="1" customWidth="1"/>
    <col min="3" max="3" width="12" style="2" bestFit="1" customWidth="1"/>
    <col min="4" max="4" width="48.6640625" style="2" bestFit="1" customWidth="1"/>
    <col min="5" max="5" width="58.5" style="2" bestFit="1" customWidth="1"/>
    <col min="6" max="6" width="18.1640625" style="2" bestFit="1" customWidth="1"/>
    <col min="7" max="7" width="5.1640625" style="2" bestFit="1" customWidth="1"/>
    <col min="8" max="8" width="7.33203125" style="2" bestFit="1" customWidth="1"/>
    <col min="9" max="9" width="7" style="24" bestFit="1" customWidth="1"/>
    <col min="10" max="10" width="6.83203125" style="24" bestFit="1" customWidth="1"/>
    <col min="11" max="11" width="7.33203125" style="24" bestFit="1" customWidth="1"/>
    <col min="12" max="12" width="7" style="24" bestFit="1" customWidth="1"/>
    <col min="13" max="14" width="6.6640625" style="24" bestFit="1" customWidth="1"/>
    <col min="15" max="15" width="14.6640625" style="2" bestFit="1" customWidth="1"/>
    <col min="16" max="16" width="6.5" style="24" bestFit="1" customWidth="1"/>
    <col min="17" max="17" width="6.33203125" style="24" bestFit="1" customWidth="1"/>
    <col min="18" max="18" width="8.6640625" style="24" bestFit="1" customWidth="1"/>
    <col min="19" max="21" width="6.5" style="24" bestFit="1" customWidth="1"/>
    <col min="22" max="22" width="14.5" style="2" bestFit="1" customWidth="1"/>
    <col min="23" max="23" width="17.1640625" style="2" bestFit="1" customWidth="1"/>
    <col min="24" max="24" width="10.1640625" style="2" bestFit="1" customWidth="1"/>
    <col min="25" max="25" width="7.1640625" style="2" bestFit="1" customWidth="1"/>
    <col min="26" max="26" width="13.6640625" style="2" bestFit="1" customWidth="1"/>
    <col min="27" max="27" width="2.1640625" style="2" bestFit="1" customWidth="1"/>
    <col min="28" max="28" width="6.5" style="2" bestFit="1" customWidth="1"/>
    <col min="29" max="29" width="2.1640625" style="2" bestFit="1" customWidth="1"/>
    <col min="30" max="30" width="9.5" style="2" bestFit="1" customWidth="1"/>
    <col min="31" max="31" width="2.1640625" style="2" bestFit="1" customWidth="1"/>
    <col min="32" max="32" width="13.83203125" style="2" bestFit="1" customWidth="1"/>
    <col min="33" max="33" width="12.5" style="2" bestFit="1" customWidth="1"/>
    <col min="34" max="34" width="4.83203125" style="2" bestFit="1" customWidth="1"/>
    <col min="35" max="35" width="17.6640625" style="2" bestFit="1" customWidth="1"/>
    <col min="36" max="36" width="14.6640625" style="2" bestFit="1" customWidth="1"/>
    <col min="37" max="16384" width="9.33203125" style="2"/>
  </cols>
  <sheetData>
    <row r="1" spans="1:36" ht="22.5" x14ac:dyDescent="0.2">
      <c r="A1" s="12" t="s">
        <v>60</v>
      </c>
      <c r="B1" s="12" t="s">
        <v>61</v>
      </c>
      <c r="C1" s="12" t="s">
        <v>17</v>
      </c>
      <c r="D1" s="12" t="s">
        <v>18</v>
      </c>
      <c r="E1" s="12" t="s">
        <v>19</v>
      </c>
      <c r="F1" s="12" t="s">
        <v>20</v>
      </c>
      <c r="G1" s="12" t="s">
        <v>21</v>
      </c>
      <c r="H1" s="12" t="s">
        <v>22</v>
      </c>
      <c r="I1" s="23" t="s">
        <v>80</v>
      </c>
      <c r="J1" s="23" t="s">
        <v>81</v>
      </c>
      <c r="K1" s="23" t="s">
        <v>82</v>
      </c>
      <c r="L1" s="23" t="s">
        <v>83</v>
      </c>
      <c r="M1" s="23" t="s">
        <v>84</v>
      </c>
      <c r="N1" s="23" t="s">
        <v>85</v>
      </c>
      <c r="O1" s="12" t="s">
        <v>86</v>
      </c>
      <c r="P1" s="23" t="s">
        <v>87</v>
      </c>
      <c r="Q1" s="23" t="s">
        <v>88</v>
      </c>
      <c r="R1" s="23" t="s">
        <v>89</v>
      </c>
      <c r="S1" s="23" t="s">
        <v>90</v>
      </c>
      <c r="T1" s="23" t="s">
        <v>91</v>
      </c>
      <c r="U1" s="23" t="s">
        <v>92</v>
      </c>
      <c r="V1" s="12" t="s">
        <v>79</v>
      </c>
      <c r="W1" s="12" t="s">
        <v>70</v>
      </c>
      <c r="X1" s="12" t="s">
        <v>32</v>
      </c>
      <c r="Y1" s="12" t="s">
        <v>77</v>
      </c>
      <c r="Z1" s="13" t="s">
        <v>78</v>
      </c>
      <c r="AA1" s="14">
        <v>1</v>
      </c>
      <c r="AB1" s="13" t="s">
        <v>39</v>
      </c>
      <c r="AC1" s="15">
        <v>1</v>
      </c>
      <c r="AD1" s="16" t="s">
        <v>14</v>
      </c>
      <c r="AE1" s="17">
        <v>1</v>
      </c>
      <c r="AF1" s="18" t="s">
        <v>93</v>
      </c>
      <c r="AG1" s="18" t="s">
        <v>94</v>
      </c>
      <c r="AH1" s="25" t="s">
        <v>95</v>
      </c>
      <c r="AI1" s="19" t="s">
        <v>96</v>
      </c>
      <c r="AJ1" s="18" t="s">
        <v>97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0" tint="-0.499984740745262"/>
  </sheetPr>
  <dimension ref="A1:AH1"/>
  <sheetViews>
    <sheetView workbookViewId="0">
      <selection activeCell="AH1" sqref="C1:AH1048576"/>
    </sheetView>
  </sheetViews>
  <sheetFormatPr defaultRowHeight="11.25" x14ac:dyDescent="0.2"/>
  <sheetData>
    <row r="1" spans="1:34" x14ac:dyDescent="0.2">
      <c r="A1" t="s">
        <v>17</v>
      </c>
      <c r="B1" t="s">
        <v>103</v>
      </c>
      <c r="C1" t="s">
        <v>49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104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32</v>
      </c>
      <c r="Y1" t="s">
        <v>105</v>
      </c>
      <c r="Z1" t="s">
        <v>106</v>
      </c>
      <c r="AA1" t="s">
        <v>107</v>
      </c>
      <c r="AB1" t="s">
        <v>108</v>
      </c>
      <c r="AC1" t="s">
        <v>109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theme="0" tint="-0.499984740745262"/>
  </sheetPr>
  <dimension ref="P1:R1"/>
  <sheetViews>
    <sheetView workbookViewId="0">
      <selection activeCell="AH1" sqref="C1:AH1048576"/>
    </sheetView>
  </sheetViews>
  <sheetFormatPr defaultRowHeight="11.25" x14ac:dyDescent="0.2"/>
  <cols>
    <col min="16" max="16" width="9.33203125" style="26"/>
    <col min="18" max="18" width="9.33203125" style="3"/>
  </cols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M1"/>
  <sheetViews>
    <sheetView workbookViewId="0">
      <selection activeCell="AH1" sqref="C1:AH1048576"/>
    </sheetView>
  </sheetViews>
  <sheetFormatPr defaultRowHeight="11.25" x14ac:dyDescent="0.2"/>
  <cols>
    <col min="1" max="1" width="12.33203125" bestFit="1" customWidth="1"/>
    <col min="2" max="2" width="6.1640625" bestFit="1" customWidth="1"/>
    <col min="3" max="3" width="11.1640625" bestFit="1" customWidth="1"/>
    <col min="4" max="4" width="62.33203125" bestFit="1" customWidth="1"/>
    <col min="5" max="6" width="13.33203125" bestFit="1" customWidth="1"/>
    <col min="7" max="7" width="7" bestFit="1" customWidth="1"/>
    <col min="8" max="8" width="17.1640625" bestFit="1" customWidth="1"/>
    <col min="10" max="10" width="17" bestFit="1" customWidth="1"/>
    <col min="11" max="11" width="22" bestFit="1" customWidth="1"/>
    <col min="12" max="12" width="10.6640625" bestFit="1" customWidth="1"/>
    <col min="13" max="13" width="18.33203125" bestFit="1" customWidth="1"/>
  </cols>
  <sheetData>
    <row r="1" spans="1:13" x14ac:dyDescent="0.2">
      <c r="A1" t="s">
        <v>6</v>
      </c>
      <c r="B1" t="s">
        <v>2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15</v>
      </c>
      <c r="K1" t="s">
        <v>16</v>
      </c>
      <c r="L1" t="s">
        <v>59</v>
      </c>
      <c r="M1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1"/>
  </sheetPr>
  <dimension ref="A1:G1"/>
  <sheetViews>
    <sheetView workbookViewId="0"/>
  </sheetViews>
  <sheetFormatPr defaultRowHeight="11.25" x14ac:dyDescent="0.2"/>
  <cols>
    <col min="1" max="1" width="9.33203125" style="27"/>
  </cols>
  <sheetData>
    <row r="1" spans="1:7" x14ac:dyDescent="0.2">
      <c r="A1" s="27" t="s">
        <v>2</v>
      </c>
      <c r="B1" t="s">
        <v>9</v>
      </c>
      <c r="C1" t="s">
        <v>10</v>
      </c>
      <c r="D1" t="s">
        <v>11</v>
      </c>
      <c r="E1" t="s">
        <v>13</v>
      </c>
      <c r="F1" t="s">
        <v>15</v>
      </c>
      <c r="G1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1"/>
  </sheetPr>
  <dimension ref="A1:M1"/>
  <sheetViews>
    <sheetView workbookViewId="0"/>
  </sheetViews>
  <sheetFormatPr defaultRowHeight="11.25" x14ac:dyDescent="0.2"/>
  <sheetData>
    <row r="1" spans="1:13" x14ac:dyDescent="0.2">
      <c r="A1" t="s">
        <v>6</v>
      </c>
      <c r="B1" t="s">
        <v>2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15</v>
      </c>
      <c r="K1" t="s">
        <v>16</v>
      </c>
      <c r="L1" t="s">
        <v>59</v>
      </c>
      <c r="M1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1"/>
  </sheetPr>
  <dimension ref="A1:M1"/>
  <sheetViews>
    <sheetView workbookViewId="0"/>
  </sheetViews>
  <sheetFormatPr defaultRowHeight="11.25" x14ac:dyDescent="0.2"/>
  <sheetData>
    <row r="1" spans="1:13" x14ac:dyDescent="0.2">
      <c r="A1" t="s">
        <v>6</v>
      </c>
      <c r="B1" t="s">
        <v>2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15</v>
      </c>
      <c r="K1" t="s">
        <v>16</v>
      </c>
      <c r="L1" t="s">
        <v>59</v>
      </c>
      <c r="M1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1"/>
  </sheetPr>
  <dimension ref="A1:M1"/>
  <sheetViews>
    <sheetView workbookViewId="0"/>
  </sheetViews>
  <sheetFormatPr defaultRowHeight="11.25" x14ac:dyDescent="0.2"/>
  <sheetData>
    <row r="1" spans="1:13" x14ac:dyDescent="0.2">
      <c r="A1" t="s">
        <v>6</v>
      </c>
      <c r="B1" t="s">
        <v>2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15</v>
      </c>
      <c r="K1" t="s">
        <v>16</v>
      </c>
      <c r="L1" t="s">
        <v>59</v>
      </c>
      <c r="M1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1"/>
  </sheetPr>
  <dimension ref="A1:M1"/>
  <sheetViews>
    <sheetView workbookViewId="0"/>
  </sheetViews>
  <sheetFormatPr defaultRowHeight="11.25" x14ac:dyDescent="0.2"/>
  <sheetData>
    <row r="1" spans="1:13" x14ac:dyDescent="0.2">
      <c r="A1" t="s">
        <v>6</v>
      </c>
      <c r="B1" t="s">
        <v>2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15</v>
      </c>
      <c r="K1" t="s">
        <v>16</v>
      </c>
      <c r="L1" t="s">
        <v>59</v>
      </c>
      <c r="M1" t="s">
        <v>115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INDEX</vt:lpstr>
      <vt:lpstr>PARÂMETROS</vt:lpstr>
      <vt:lpstr>BD_FUNILARIA</vt:lpstr>
      <vt:lpstr>BD_MONTAGEM</vt:lpstr>
      <vt:lpstr>BD_FPT</vt:lpstr>
      <vt:lpstr>RESULT_PFEP</vt:lpstr>
      <vt:lpstr>RESULT_SUP</vt:lpstr>
      <vt:lpstr>SUPPLIER_DB</vt:lpstr>
      <vt:lpstr>PFEP_PROVISÓRIO</vt:lpstr>
      <vt:lpstr>BD_UNIFICADO</vt:lpstr>
      <vt:lpstr>INFO_PROGRAMAÇÃO</vt:lpstr>
      <vt:lpstr>PN_SEM_NOME</vt:lpstr>
      <vt:lpstr>FORN_SEM_COD_SAP</vt:lpstr>
      <vt:lpstr>FORN_SEM_UF</vt:lpstr>
      <vt:lpstr>PN_SEM_QME</vt:lpstr>
    </vt:vector>
  </TitlesOfParts>
  <Company>DHL Logistics (Supply Chain Brazil)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Bernardes Egberto (FCA)</dc:creator>
  <cp:lastModifiedBy>Bernardes Egberto (FCA)</cp:lastModifiedBy>
  <dcterms:created xsi:type="dcterms:W3CDTF">2020-09-22T20:20:27Z</dcterms:created>
  <dcterms:modified xsi:type="dcterms:W3CDTF">2020-10-01T17:15:54Z</dcterms:modified>
</cp:coreProperties>
</file>