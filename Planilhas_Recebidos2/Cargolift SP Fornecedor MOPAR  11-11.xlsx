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ere - FCA 21\Documentos\5.(Diário) Programações DHL\"/>
    </mc:Choice>
  </mc:AlternateContent>
  <xr:revisionPtr revIDLastSave="0" documentId="13_ncr:1_{EB20CCA6-FE85-42B5-8E3F-3B1B16E8B7AB}" xr6:coauthVersionLast="47" xr6:coauthVersionMax="47" xr10:uidLastSave="{00000000-0000-0000-0000-000000000000}"/>
  <bookViews>
    <workbookView xWindow="-107" yWindow="-107" windowWidth="20847" windowHeight="11111" xr2:uid="{A6A5BA05-7F65-4E5B-9476-A88EF0AC5ADE}"/>
  </bookViews>
  <sheets>
    <sheet name="Suppliers" sheetId="1" r:id="rId1"/>
  </sheets>
  <definedNames>
    <definedName name="_xlnm._FilterDatabase" localSheetId="0" hidden="1">Suppliers!$A$1:$AG$1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K3" i="1" s="1"/>
  <c r="B2" i="1" l="1"/>
  <c r="K2" i="1" s="1"/>
</calcChain>
</file>

<file path=xl/sharedStrings.xml><?xml version="1.0" encoding="utf-8"?>
<sst xmlns="http://schemas.openxmlformats.org/spreadsheetml/2006/main" count="35" uniqueCount="34">
  <si>
    <t>Planta</t>
  </si>
  <si>
    <t>Semana de coleta</t>
  </si>
  <si>
    <t>Supplier Code</t>
  </si>
  <si>
    <t xml:space="preserve">TARGET SUPPLIER + CITY </t>
  </si>
  <si>
    <t>Address Adjusted</t>
  </si>
  <si>
    <t>City</t>
  </si>
  <si>
    <t>State</t>
  </si>
  <si>
    <t>Country</t>
  </si>
  <si>
    <t>seg - m³</t>
  </si>
  <si>
    <t>ter - m³</t>
  </si>
  <si>
    <t>qua - m³</t>
  </si>
  <si>
    <t>qui - m³</t>
  </si>
  <si>
    <t>sex -m³</t>
  </si>
  <si>
    <t>sab -m³</t>
  </si>
  <si>
    <t>CDLC Destination</t>
  </si>
  <si>
    <t>seg - kg</t>
  </si>
  <si>
    <t>ter - kg</t>
  </si>
  <si>
    <t>qua - kg</t>
  </si>
  <si>
    <t>qui - kg</t>
  </si>
  <si>
    <t>sex - kg</t>
  </si>
  <si>
    <t>sab - kg</t>
  </si>
  <si>
    <t>Dock Destination</t>
  </si>
  <si>
    <t>Restrição de Veículo</t>
  </si>
  <si>
    <t>Fluxo</t>
  </si>
  <si>
    <t>Destino</t>
  </si>
  <si>
    <t>Conta-trabalho?</t>
  </si>
  <si>
    <t>Endereço Conta-trabalho</t>
  </si>
  <si>
    <t>Cidade Conta-trabalho</t>
  </si>
  <si>
    <t>Estado Conta-trabalho</t>
  </si>
  <si>
    <t>Horário de Janela</t>
  </si>
  <si>
    <t>CNPJ Origem</t>
  </si>
  <si>
    <t>CNPJ Destino</t>
  </si>
  <si>
    <t>Saturação</t>
  </si>
  <si>
    <t>MOPAR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</si>
</sst>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 wrapText="1"/>
    </xf>
    <xf numFmtId="21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164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3472-0F1A-463F-B84B-CBF8AB0D2A2C}">
  <dimension ref="A1:AH3"/>
  <sheetViews>
    <sheetView tabSelected="1" zoomScale="85" zoomScaleNormal="85" workbookViewId="0">
      <selection activeCell="A3" sqref="A3:XFD8"/>
    </sheetView>
  </sheetViews>
  <sheetFormatPr defaultColWidth="9.19921875" defaultRowHeight="14" x14ac:dyDescent="0.3"/>
  <cols>
    <col min="1" max="1" width="7.3984375" style="7" bestFit="1" customWidth="1"/>
    <col min="2" max="2" width="8.296875" style="7" bestFit="1" customWidth="1"/>
    <col min="3" max="3" width="12.296875" style="8" bestFit="1" customWidth="1"/>
    <col min="4" max="4" width="10.09765625" style="7" bestFit="1" customWidth="1"/>
    <col min="5" max="5" width="8.3984375" style="7" bestFit="1" customWidth="1"/>
    <col min="6" max="6" width="3.296875" style="7" bestFit="1" customWidth="1"/>
    <col min="7" max="7" width="3.59765625" style="7" bestFit="1" customWidth="1"/>
    <col min="8" max="8" width="6" style="7" bestFit="1" customWidth="1"/>
    <col min="9" max="9" width="4.796875" style="7" bestFit="1" customWidth="1"/>
    <col min="10" max="10" width="4.5" style="7" bestFit="1" customWidth="1"/>
    <col min="11" max="11" width="25.796875" style="7" bestFit="1" customWidth="1"/>
    <col min="12" max="12" width="4.69921875" style="7" bestFit="1" customWidth="1"/>
    <col min="13" max="13" width="7" style="7" bestFit="1" customWidth="1"/>
    <col min="14" max="14" width="25.796875" style="7" bestFit="1" customWidth="1"/>
    <col min="15" max="15" width="10.59765625" style="7" bestFit="1" customWidth="1"/>
    <col min="16" max="16" width="4.796875" style="7" bestFit="1" customWidth="1"/>
    <col min="17" max="17" width="4.5" style="7" bestFit="1" customWidth="1"/>
    <col min="18" max="18" width="5.19921875" style="7" bestFit="1" customWidth="1"/>
    <col min="19" max="19" width="4.69921875" style="7" bestFit="1" customWidth="1"/>
    <col min="20" max="20" width="5.69921875" style="7" bestFit="1" customWidth="1"/>
    <col min="21" max="21" width="4.296875" style="7" bestFit="1" customWidth="1"/>
    <col min="22" max="22" width="7.19921875" style="7" bestFit="1" customWidth="1"/>
    <col min="23" max="23" width="17.59765625" style="7" bestFit="1" customWidth="1"/>
    <col min="24" max="24" width="4.296875" style="7" bestFit="1" customWidth="1"/>
    <col min="25" max="25" width="5.19921875" style="7" bestFit="1" customWidth="1"/>
    <col min="26" max="26" width="7" style="7" bestFit="1" customWidth="1"/>
    <col min="27" max="27" width="8.09765625" style="7" bestFit="1" customWidth="1"/>
    <col min="28" max="28" width="7" style="7" bestFit="1" customWidth="1"/>
    <col min="29" max="29" width="6.59765625" style="7" bestFit="1" customWidth="1"/>
    <col min="30" max="30" width="9.8984375" style="12" bestFit="1" customWidth="1"/>
    <col min="31" max="31" width="7" style="7" bestFit="1" customWidth="1"/>
    <col min="32" max="32" width="7.296875" style="7" bestFit="1" customWidth="1"/>
    <col min="33" max="33" width="6.296875" style="7" bestFit="1" customWidth="1"/>
    <col min="34" max="34" width="12.19921875" style="7" customWidth="1"/>
    <col min="35" max="16384" width="9.19921875" style="7"/>
  </cols>
  <sheetData>
    <row r="1" spans="1:34" s="6" customFormat="1" ht="55.9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4" t="s">
        <v>30</v>
      </c>
      <c r="AF1" s="4" t="s">
        <v>31</v>
      </c>
      <c r="AG1" s="5" t="s">
        <v>32</v>
      </c>
    </row>
    <row r="2" spans="1:34" ht="15.85" customHeight="1" x14ac:dyDescent="0.3">
      <c r="A2" t="s">
        <v>33</v>
      </c>
      <c r="B2" t="str">
        <f t="shared" ref="B2:B3" ca="1" si="0">"WEEK "&amp;WEEKNUM(TODAY())</f>
        <v>WEEK 46</v>
      </c>
      <c r="C2" s="9">
        <v>800006198</v>
      </c>
      <c r="E2" s="11"/>
      <c r="I2" s="10"/>
      <c r="J2" s="10">
        <v>50</v>
      </c>
      <c r="K2" s="10" t="str">
        <f ca="1">A2&amp;" "&amp;B2&amp;D2&amp;" MilkRun"</f>
        <v>MOPAR WEEK 46 MilkRun</v>
      </c>
      <c r="L2" s="10"/>
      <c r="M2" s="10"/>
      <c r="N2" s="11"/>
      <c r="O2" s="11"/>
      <c r="P2" s="9"/>
      <c r="Q2" s="9">
        <v>200</v>
      </c>
      <c r="R2" s="9"/>
      <c r="S2" s="9"/>
      <c r="T2" s="9"/>
      <c r="U2" s="9"/>
      <c r="W2" s="11"/>
      <c r="AD2" s="13">
        <v>0.58333333333333337</v>
      </c>
      <c r="AG2" s="9">
        <v>100</v>
      </c>
      <c r="AH2" s="11"/>
    </row>
    <row r="3" spans="1:34" x14ac:dyDescent="0.3">
      <c r="A3" t="s">
        <v>33</v>
      </c>
      <c r="B3" t="str">
        <f t="shared" ca="1" si="0"/>
        <v>WEEK 46</v>
      </c>
      <c r="C3" s="8">
        <v>800047201</v>
      </c>
      <c r="J3" s="7">
        <v>15</v>
      </c>
      <c r="K3" s="10" t="str">
        <f t="shared" ref="K3" ca="1" si="1">A3&amp;" "&amp;B3&amp;D3&amp;" MilkRun"</f>
        <v>MOPAR WEEK 46 MilkRun</v>
      </c>
      <c r="Q3" s="7">
        <v>20</v>
      </c>
      <c r="AD3" s="13">
        <v>0.4375</v>
      </c>
      <c r="AG3" s="9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AUGUSTO MENDES ROMEU (EXTERNAL)</dc:creator>
  <cp:lastModifiedBy>João Ricardo Lopes de Mendonça</cp:lastModifiedBy>
  <dcterms:created xsi:type="dcterms:W3CDTF">2024-06-17T16:34:24Z</dcterms:created>
  <dcterms:modified xsi:type="dcterms:W3CDTF">2025-11-10T17:12:07Z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2024-06-17T16:34:45Z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8b17d5da-8150-4b40-976d-4b884aa4752d</vt:lpwstr>
  </property>
  <property fmtid="{D5CDD505-2E9C-101B-9397-08002B2CF9AE}" pid="8" name="MSIP_Label_725ca717-11da-4935-b601-f527b9741f2e_ContentBits">
    <vt:lpwstr>0</vt:lpwstr>
  </property>
</Properties>
</file>