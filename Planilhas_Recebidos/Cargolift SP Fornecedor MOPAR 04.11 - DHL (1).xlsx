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elere-my.sharepoint.com/personal/fca15_celere_onmicrosoft_com/Documents/Área de Trabalho/Kênia/"/>
    </mc:Choice>
  </mc:AlternateContent>
  <xr:revisionPtr revIDLastSave="0" documentId="8_{25CBF4C4-D532-45BD-B934-142C35350E45}" xr6:coauthVersionLast="47" xr6:coauthVersionMax="47" xr10:uidLastSave="{00000000-0000-0000-0000-000000000000}"/>
  <bookViews>
    <workbookView xWindow="-120" yWindow="-120" windowWidth="29040" windowHeight="15720" xr2:uid="{A6A5BA05-7F65-4E5B-9476-A88EF0AC5ADE}"/>
  </bookViews>
  <sheets>
    <sheet name="Suppliers" sheetId="1" r:id="rId1"/>
  </sheets>
  <definedNames>
    <definedName name="_xlnm._FilterDatabase" localSheetId="0" hidden="1">Suppliers!$A$1:$AG$1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2" i="1"/>
</calcChain>
</file>

<file path=xl/sharedStrings.xml><?xml version="1.0" encoding="utf-8"?>
<sst xmlns="http://schemas.openxmlformats.org/spreadsheetml/2006/main" count="39" uniqueCount="35">
  <si>
    <t>Planta</t>
  </si>
  <si>
    <t>Semana de coleta</t>
  </si>
  <si>
    <t>Supplier Code</t>
  </si>
  <si>
    <t xml:space="preserve">TARGET SUPPLIER + CITY </t>
  </si>
  <si>
    <t>Address Adjusted</t>
  </si>
  <si>
    <t>City</t>
  </si>
  <si>
    <t>State</t>
  </si>
  <si>
    <t>Country</t>
  </si>
  <si>
    <t>seg - m³</t>
  </si>
  <si>
    <t>ter - m³</t>
  </si>
  <si>
    <t>qua - m³</t>
  </si>
  <si>
    <t>qui - m³</t>
  </si>
  <si>
    <t>sex -m³</t>
  </si>
  <si>
    <t>sab -m³</t>
  </si>
  <si>
    <t>CDLC Destination</t>
  </si>
  <si>
    <t>seg - kg</t>
  </si>
  <si>
    <t>ter - kg</t>
  </si>
  <si>
    <t>qua - kg</t>
  </si>
  <si>
    <t>qui - kg</t>
  </si>
  <si>
    <t>sex - kg</t>
  </si>
  <si>
    <t>sab - kg</t>
  </si>
  <si>
    <t>Dock Destination</t>
  </si>
  <si>
    <t>Restrição de Veículo</t>
  </si>
  <si>
    <t>Fluxo</t>
  </si>
  <si>
    <t>Destino</t>
  </si>
  <si>
    <t>Conta-trabalho?</t>
  </si>
  <si>
    <t>Endereço Conta-trabalho</t>
  </si>
  <si>
    <t>Cidade Conta-trabalho</t>
  </si>
  <si>
    <t>Estado Conta-trabalho</t>
  </si>
  <si>
    <t>Horário de Janela</t>
  </si>
  <si>
    <t>CNPJ Origem</t>
  </si>
  <si>
    <t>CNPJ Destino</t>
  </si>
  <si>
    <t>Saturação</t>
  </si>
  <si>
    <t>MOPAR</t>
  </si>
  <si>
    <t>WEEK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</si>
</sst>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4" fontId="0" fillId="3" borderId="0" xfId="0" applyNumberFormat="1" applyFill="1" applyAlignment="1">
      <alignment horizontal="center" vertical="center" wrapText="1"/>
    </xf>
    <xf numFmtId="1" fontId="0" fillId="3" borderId="0" xfId="0" applyNumberFormat="1" applyFill="1" applyAlignment="1">
      <alignment horizontal="center" vertical="center" wrapText="1"/>
    </xf>
    <xf numFmtId="21" fontId="0" fillId="3" borderId="0" xfId="0" applyNumberForma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1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/>
    </xf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B3472-0F1A-463F-B84B-CBF8AB0D2A2C}">
  <dimension ref="A1:AG47"/>
  <sheetViews>
    <sheetView tabSelected="1" zoomScale="85" zoomScaleNormal="85" workbookViewId="0">
      <selection activeCell="AA8" sqref="AA8"/>
    </sheetView>
  </sheetViews>
  <sheetFormatPr defaultColWidth="9.26953125" defaultRowHeight="14.5" x14ac:dyDescent="0.35"/>
  <cols>
    <col min="1" max="1" width="7.7265625" style="8" bestFit="1" customWidth="1"/>
    <col min="2" max="2" width="8.453125" style="8" bestFit="1" customWidth="1"/>
    <col min="3" max="3" width="14.26953125" style="9" bestFit="1" customWidth="1"/>
    <col min="4" max="4" width="14.7265625" style="8" bestFit="1" customWidth="1"/>
    <col min="5" max="5" width="16.7265625" style="8" bestFit="1" customWidth="1"/>
    <col min="6" max="7" width="4.453125" style="8" bestFit="1" customWidth="1"/>
    <col min="8" max="8" width="7" style="8" bestFit="1" customWidth="1"/>
    <col min="9" max="9" width="23.7265625" style="8" bestFit="1" customWidth="1"/>
    <col min="10" max="10" width="26" style="8" bestFit="1" customWidth="1"/>
    <col min="11" max="15" width="24.7265625" style="8" bestFit="1" customWidth="1"/>
    <col min="16" max="16" width="10" style="8" bestFit="1" customWidth="1"/>
    <col min="17" max="17" width="6" style="8" bestFit="1" customWidth="1"/>
    <col min="18" max="18" width="7.453125" style="8" customWidth="1"/>
    <col min="19" max="20" width="7.26953125" style="8" bestFit="1" customWidth="1"/>
    <col min="21" max="21" width="6.54296875" style="8" bestFit="1" customWidth="1"/>
    <col min="22" max="22" width="7.7265625" style="8" bestFit="1" customWidth="1"/>
    <col min="23" max="23" width="86.1796875" style="8" bestFit="1" customWidth="1"/>
    <col min="24" max="24" width="5.7265625" style="8" bestFit="1" customWidth="1"/>
    <col min="25" max="25" width="6.7265625" style="8" bestFit="1" customWidth="1"/>
    <col min="26" max="26" width="8.453125" style="8" bestFit="1" customWidth="1"/>
    <col min="27" max="27" width="12.81640625" style="8" bestFit="1" customWidth="1"/>
    <col min="28" max="28" width="10.453125" style="8" bestFit="1" customWidth="1"/>
    <col min="29" max="29" width="7.26953125" style="8" bestFit="1" customWidth="1"/>
    <col min="30" max="30" width="16.453125" style="7" bestFit="1" customWidth="1"/>
    <col min="31" max="31" width="12.453125" style="8" bestFit="1" customWidth="1"/>
    <col min="32" max="32" width="12.7265625" style="8" bestFit="1" customWidth="1"/>
    <col min="33" max="33" width="7.453125" style="8" bestFit="1" customWidth="1"/>
    <col min="34" max="34" width="12.26953125" style="8" customWidth="1"/>
    <col min="35" max="16384" width="9.26953125" style="8"/>
  </cols>
  <sheetData>
    <row r="1" spans="1:33" s="6" customFormat="1" ht="58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3" t="s">
        <v>29</v>
      </c>
      <c r="AE1" s="4" t="s">
        <v>30</v>
      </c>
      <c r="AF1" s="4" t="s">
        <v>31</v>
      </c>
      <c r="AG1" s="5" t="s">
        <v>32</v>
      </c>
    </row>
    <row r="2" spans="1:33" ht="15" customHeight="1" x14ac:dyDescent="0.35">
      <c r="A2" t="s">
        <v>33</v>
      </c>
      <c r="B2" t="s">
        <v>34</v>
      </c>
      <c r="C2" s="8">
        <v>800046898</v>
      </c>
      <c r="J2" s="8">
        <v>15</v>
      </c>
      <c r="K2" s="10" t="str">
        <f>A2&amp;C2&amp;"MilkRun"</f>
        <v>MOPAR800046898MilkRun</v>
      </c>
      <c r="Q2" s="8">
        <v>180</v>
      </c>
      <c r="AD2" s="7">
        <v>0.58333333333333337</v>
      </c>
    </row>
    <row r="3" spans="1:33" x14ac:dyDescent="0.35">
      <c r="A3" t="s">
        <v>33</v>
      </c>
      <c r="B3" t="s">
        <v>34</v>
      </c>
      <c r="C3" s="8">
        <v>800002887</v>
      </c>
      <c r="D3"/>
      <c r="E3"/>
      <c r="F3"/>
      <c r="G3"/>
      <c r="H3"/>
      <c r="I3"/>
      <c r="J3" s="8">
        <v>15</v>
      </c>
      <c r="K3" s="10" t="str">
        <f t="shared" ref="K3:K5" si="0">A3&amp;C3&amp;"MilkRun"</f>
        <v>MOPAR800002887MilkRun</v>
      </c>
      <c r="O3"/>
      <c r="P3"/>
      <c r="Q3" s="8">
        <v>20</v>
      </c>
      <c r="U3"/>
      <c r="V3"/>
      <c r="W3" s="11"/>
      <c r="X3"/>
      <c r="Y3"/>
      <c r="Z3"/>
      <c r="AA3"/>
      <c r="AB3"/>
      <c r="AC3"/>
      <c r="AD3" s="7">
        <v>0.41666666666666669</v>
      </c>
      <c r="AE3"/>
      <c r="AF3"/>
      <c r="AG3"/>
    </row>
    <row r="4" spans="1:33" ht="15.75" customHeight="1" x14ac:dyDescent="0.35">
      <c r="A4" t="s">
        <v>33</v>
      </c>
      <c r="B4" t="s">
        <v>34</v>
      </c>
      <c r="C4" s="8">
        <v>800044372</v>
      </c>
      <c r="J4" s="8">
        <v>1.2</v>
      </c>
      <c r="K4" s="10" t="str">
        <f t="shared" si="0"/>
        <v>MOPAR800044372MilkRun</v>
      </c>
      <c r="Q4" s="8">
        <v>10</v>
      </c>
      <c r="W4" s="11"/>
      <c r="AD4" s="7">
        <v>0.66666666666666663</v>
      </c>
    </row>
    <row r="5" spans="1:33" x14ac:dyDescent="0.35">
      <c r="A5"/>
      <c r="B5"/>
      <c r="C5" s="8"/>
      <c r="D5"/>
      <c r="E5"/>
      <c r="F5"/>
      <c r="G5"/>
      <c r="H5"/>
      <c r="I5"/>
      <c r="K5" s="10"/>
      <c r="O5"/>
      <c r="P5"/>
      <c r="S5"/>
      <c r="U5"/>
      <c r="V5"/>
      <c r="W5"/>
      <c r="X5"/>
      <c r="Y5"/>
      <c r="Z5"/>
      <c r="AA5"/>
      <c r="AB5"/>
      <c r="AC5"/>
      <c r="AE5"/>
      <c r="AF5"/>
      <c r="AG5"/>
    </row>
    <row r="6" spans="1:33" x14ac:dyDescent="0.35">
      <c r="A6"/>
      <c r="B6"/>
      <c r="C6"/>
      <c r="D6"/>
      <c r="E6"/>
      <c r="F6"/>
      <c r="G6"/>
      <c r="H6"/>
      <c r="I6"/>
      <c r="J6"/>
      <c r="M6"/>
      <c r="N6"/>
      <c r="O6"/>
      <c r="P6"/>
      <c r="Q6"/>
      <c r="S6"/>
      <c r="T6"/>
      <c r="U6"/>
      <c r="V6"/>
      <c r="W6"/>
      <c r="X6"/>
      <c r="Y6"/>
      <c r="Z6"/>
      <c r="AA6"/>
      <c r="AB6"/>
      <c r="AC6"/>
      <c r="AE6"/>
      <c r="AF6"/>
      <c r="AG6"/>
    </row>
    <row r="7" spans="1:33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</row>
    <row r="8" spans="1:33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</row>
    <row r="9" spans="1:33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</row>
    <row r="10" spans="1:33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</row>
    <row r="11" spans="1:33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</row>
    <row r="12" spans="1:33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</row>
    <row r="13" spans="1:33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</row>
    <row r="14" spans="1:33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</row>
    <row r="15" spans="1:33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</row>
    <row r="16" spans="1:33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</row>
    <row r="17" spans="1:33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</row>
    <row r="18" spans="1:33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</row>
    <row r="19" spans="1:33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</row>
    <row r="20" spans="1:33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</row>
    <row r="21" spans="1:33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</row>
    <row r="22" spans="1:33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</row>
    <row r="23" spans="1:33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</row>
    <row r="24" spans="1:33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</row>
    <row r="25" spans="1:33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</row>
    <row r="26" spans="1:33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</row>
    <row r="27" spans="1:33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</row>
    <row r="28" spans="1:33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</row>
    <row r="29" spans="1:33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</row>
    <row r="30" spans="1:33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</row>
    <row r="31" spans="1:33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</row>
    <row r="32" spans="1:33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</row>
    <row r="33" spans="1:33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</row>
    <row r="34" spans="1:33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</row>
    <row r="35" spans="1:33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</row>
    <row r="36" spans="1:33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</row>
    <row r="37" spans="1:33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</row>
    <row r="38" spans="1:33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</row>
    <row r="39" spans="1:33" x14ac:dyDescent="0.3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</row>
    <row r="40" spans="1:33" x14ac:dyDescent="0.3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</row>
    <row r="41" spans="1:33" x14ac:dyDescent="0.3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</row>
    <row r="42" spans="1:33" x14ac:dyDescent="0.3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</row>
    <row r="43" spans="1:33" x14ac:dyDescent="0.3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</row>
    <row r="44" spans="1:33" x14ac:dyDescent="0.3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</row>
    <row r="45" spans="1:33" x14ac:dyDescent="0.3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</row>
    <row r="46" spans="1:33" x14ac:dyDescent="0.3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</row>
    <row r="47" spans="1:33" x14ac:dyDescent="0.3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Suppliers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AUGUSTO MENDES ROMEU (EXTERNAL)</dc:creator>
  <cp:lastModifiedBy>Kênia Leite</cp:lastModifiedBy>
  <dcterms:created xsi:type="dcterms:W3CDTF">2024-06-17T16:34:24Z</dcterms:created>
  <dcterms:modified xsi:type="dcterms:W3CDTF">2025-11-03T17:50:23Z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5ca717-11da-4935-b601-f527b9741f2e_Enabled">
    <vt:lpwstr>true</vt:lpwstr>
  </property>
  <property fmtid="{D5CDD505-2E9C-101B-9397-08002B2CF9AE}" pid="3" name="MSIP_Label_725ca717-11da-4935-b601-f527b9741f2e_SetDate">
    <vt:lpwstr>2024-06-17T16:34:45Z</vt:lpwstr>
  </property>
  <property fmtid="{D5CDD505-2E9C-101B-9397-08002B2CF9AE}" pid="4" name="MSIP_Label_725ca717-11da-4935-b601-f527b9741f2e_Method">
    <vt:lpwstr>Standard</vt:lpwstr>
  </property>
  <property fmtid="{D5CDD505-2E9C-101B-9397-08002B2CF9AE}" pid="5" name="MSIP_Label_725ca717-11da-4935-b601-f527b9741f2e_Name">
    <vt:lpwstr>C2 - Internal</vt:lpwstr>
  </property>
  <property fmtid="{D5CDD505-2E9C-101B-9397-08002B2CF9AE}" pid="6" name="MSIP_Label_725ca717-11da-4935-b601-f527b9741f2e_SiteId">
    <vt:lpwstr>d852d5cd-724c-4128-8812-ffa5db3f8507</vt:lpwstr>
  </property>
  <property fmtid="{D5CDD505-2E9C-101B-9397-08002B2CF9AE}" pid="7" name="MSIP_Label_725ca717-11da-4935-b601-f527b9741f2e_ActionId">
    <vt:lpwstr>8b17d5da-8150-4b40-976d-4b884aa4752d</vt:lpwstr>
  </property>
  <property fmtid="{D5CDD505-2E9C-101B-9397-08002B2CF9AE}" pid="8" name="MSIP_Label_725ca717-11da-4935-b601-f527b9741f2e_ContentBits">
    <vt:lpwstr>0</vt:lpwstr>
  </property>
</Properties>
</file>